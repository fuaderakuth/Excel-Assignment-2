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uade\Downloads\"/>
    </mc:Choice>
  </mc:AlternateContent>
  <xr:revisionPtr revIDLastSave="0" documentId="13_ncr:1_{D2ED521E-A46C-4C29-89FF-2DBE1797A85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set_Solution" sheetId="3" r:id="rId3"/>
  </sheets>
  <definedNames>
    <definedName name="ExternalData_1" localSheetId="2" hidden="1">Dataset_Solution!$A$1:$F$32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0E9FEE-3BFF-4BB6-89A7-9874A585C53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<sst xmlns="http://schemas.openxmlformats.org/spreadsheetml/2006/main" count="292" uniqueCount="122">
  <si>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</si>
  <si>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</si>
  <si>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</si>
  <si>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</si>
  <si>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</si>
  <si>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</si>
  <si>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</si>
  <si>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</si>
  <si>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</si>
  <si>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</si>
  <si>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</si>
  <si>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</si>
  <si>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</si>
  <si>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</si>
  <si>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</si>
  <si>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</si>
  <si>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</si>
  <si>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</si>
  <si>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</si>
  <si>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</si>
  <si>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</si>
  <si>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</si>
  <si>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</si>
  <si>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</si>
  <si>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</si>
  <si>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</si>
  <si>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</si>
  <si>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</si>
  <si>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</si>
  <si>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</si>
  <si>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</si>
  <si>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</si>
  <si>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</si>
  <si>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</si>
  <si>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</si>
  <si>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</si>
  <si>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</si>
  <si>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</si>
  <si>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</si>
  <si>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</si>
  <si>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</si>
  <si>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</si>
  <si>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</si>
  <si>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</si>
  <si>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</si>
  <si>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</si>
  <si>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</si>
  <si>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</si>
  <si>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</si>
  <si>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</si>
  <si>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</si>
  <si>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</si>
  <si>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</si>
  <si>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</si>
  <si>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</si>
  <si>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</si>
  <si>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</si>
  <si>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</si>
  <si>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</si>
  <si>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</si>
  <si>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</si>
  <si>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</si>
  <si>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</si>
  <si>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</si>
  <si>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</si>
  <si>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</si>
  <si>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</si>
  <si>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</si>
  <si>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</si>
  <si>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</si>
  <si>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</si>
  <si>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</si>
  <si>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</si>
  <si>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</si>
  <si>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</si>
  <si>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</si>
  <si>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</si>
  <si>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</si>
  <si>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</si>
  <si>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</si>
  <si>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</si>
  <si>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</si>
  <si>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</si>
  <si>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</si>
  <si>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</si>
  <si>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</si>
  <si>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</si>
  <si>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</si>
  <si>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</si>
  <si>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</si>
  <si>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</si>
  <si>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</si>
  <si>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</si>
  <si>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</si>
  <si>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</si>
  <si>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</si>
  <si>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</si>
  <si>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</si>
  <si>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</si>
  <si>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</si>
  <si>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</si>
  <si>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</si>
  <si>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</si>
  <si>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</si>
  <si>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</si>
  <si>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</si>
  <si>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</si>
  <si>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</si>
  <si>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</si>
  <si>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</si>
  <si>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</si>
  <si>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</si>
  <si>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</si>
  <si>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</si>
  <si>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</si>
  <si>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</si>
  <si>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</si>
  <si>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Countrty Code</t>
  </si>
  <si>
    <t>Manufacturing Date</t>
  </si>
  <si>
    <t>* Products with missing categories replaced with identical products categories and nature of product.</t>
  </si>
  <si>
    <t>* Missing price has been adjusted with identical prodcuts median and for "Camping Tent", the total median is taken after entering the other two missing values.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</si>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</sst>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dd\-mm\-yyyy"/>
    <numFmt numFmtId="165" formatCode="_(&quot;$&quot;* #,##0_);_(&quot;$&quot;* \(#,##0\);_(&quot;$&quot;* &quot;-&quot;??_);_(@_)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NumberFormat="1" applyFont="1" applyAlignment="1"/>
    <xf numFmtId="0" fontId="0" fillId="5" borderId="0" xfId="0" applyNumberFormat="1" applyFont="1" applyFill="1" applyAlignment="1"/>
    <xf numFmtId="0" fontId="9" fillId="0" borderId="0" xfId="0" applyFont="1" applyAlignment="1"/>
    <xf numFmtId="0" fontId="9" fillId="0" borderId="0" xfId="0" applyNumberFormat="1" applyFont="1" applyAlignment="1"/>
    <xf numFmtId="164" fontId="9" fillId="0" borderId="0" xfId="0" applyNumberFormat="1" applyFont="1" applyAlignment="1"/>
    <xf numFmtId="165" fontId="0" fillId="0" borderId="0" xfId="1" applyNumberFormat="1" applyFont="1" applyAlignment="1"/>
    <xf numFmtId="0" fontId="0" fillId="0" borderId="0" xfId="0" applyNumberFormat="1" applyFont="1" applyFill="1" applyAlignment="1"/>
    <xf numFmtId="165" fontId="0" fillId="4" borderId="0" xfId="1" applyNumberFormat="1" applyFont="1" applyFill="1" applyAlignment="1"/>
    <xf numFmtId="0" fontId="0" fillId="6" borderId="0" xfId="0" applyNumberFormat="1" applyFont="1" applyFill="1" applyAlignment="1"/>
    <xf numFmtId="0" fontId="0" fillId="6" borderId="0" xfId="0" applyFont="1" applyFill="1" applyAlignment="1"/>
    <xf numFmtId="0" fontId="9" fillId="4" borderId="0" xfId="0" applyFont="1" applyFill="1" applyAlignment="1">
      <alignment wrapText="1"/>
    </xf>
    <xf numFmtId="16" fontId="0" fillId="0" borderId="0" xfId="0" applyNumberFormat="1" applyFont="1" applyAlignment="1"/>
  </cellXfs>
  <cellStyles count="2">
    <cellStyle name="Currency" xfId="1" builtinId="4"/>
    <cellStyle name="Normal" xfId="0" builtinId="0"/>
  </cellStyles>
  <dxfs count="17">
    <dxf>
      <numFmt numFmtId="0" formatCode="General"/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dd\-mm\-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66DDB1-D02F-49E0-B01A-4FFB44ABB231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23734-99C7-4AF9-9E6F-92F27A330537}" name="Table1" displayName="Table1" ref="A1:F35" totalsRowShown="0" headerRowDxfId="16" dataDxfId="15">
  <autoFilter ref="A1:F35" xr:uid="{C4923734-99C7-4AF9-9E6F-92F27A330537}"/>
  <tableColumns count="6">
    <tableColumn id="1" xr3:uid="{BAEF1AE4-CF9E-44D5-AD4C-56A65EC44008}" name="Product ID" dataDxfId="14"/>
    <tableColumn id="2" xr3:uid="{95E2A3AD-A394-4A9B-9BF5-7A34331DB200}" name="Product Name" dataDxfId="13"/>
    <tableColumn id="3" xr3:uid="{2642B160-2350-4880-B5E3-76DE5F5ACEED}" name="Brand Name" dataDxfId="12"/>
    <tableColumn id="4" xr3:uid="{FD4AF96B-3BB5-4BF9-8DD2-137CE4BFB116}" name="Price ($)" dataDxfId="11"/>
    <tableColumn id="5" xr3:uid="{4603E229-4AD1-42FE-9816-FBBFDEC58E11}" name="Quantity" dataDxfId="10"/>
    <tableColumn id="6" xr3:uid="{6ABD3A85-7DAD-434C-B9C1-183784CA3300}" name="Category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48338-3F67-4AE6-AEA8-099B481F7945}" name="Table1_1" displayName="Table1_1" ref="A1:I32" tableType="queryTable" totalsRowShown="0">
  <autoFilter ref="A1:I32" xr:uid="{C5D48338-3F67-4AE6-AEA8-099B481F7945}"/>
  <tableColumns count="9">
    <tableColumn id="1" xr3:uid="{1AFAE482-C7FB-4C45-8D57-C4496BCADF5E}" uniqueName="1" name="Product ID" queryTableFieldId="1" dataDxfId="8"/>
    <tableColumn id="2" xr3:uid="{32466121-0740-4443-A67A-C23131777165}" uniqueName="2" name="Product Name" queryTableFieldId="2" dataDxfId="7"/>
    <tableColumn id="3" xr3:uid="{D29BEFDD-1577-44AB-8053-96FE3E9E616F}" uniqueName="3" name="Brand Name" queryTableFieldId="3" dataDxfId="6"/>
    <tableColumn id="4" xr3:uid="{55176769-9DA2-42D4-9D6D-C8CF1A501A9B}" uniqueName="4" name="Price ($)" queryTableFieldId="4" dataDxfId="5" dataCellStyle="Currency"/>
    <tableColumn id="5" xr3:uid="{0B3C3BA2-8237-4C2C-8730-8EF2F6808C4B}" uniqueName="5" name="Quantity" queryTableFieldId="5"/>
    <tableColumn id="6" xr3:uid="{060B3BE4-8A4B-4CC6-9E85-F6DA00465F5A}" uniqueName="6" name="Category" queryTableFieldId="6" dataDxfId="4"/>
    <tableColumn id="7" xr3:uid="{6FB432BC-F5C3-47D6-8978-48CEC4B6D864}" uniqueName="7" name="Manufacturing Date" queryTableFieldId="7" dataDxfId="3"/>
    <tableColumn id="8" xr3:uid="{84912080-711E-4A58-92E0-C458C38C40DC}" uniqueName="8" name="Countrty Code" queryTableFieldId="8" dataDxfId="2">
      <calculatedColumnFormula>RIGHT(Table1_1[[#This Row],[Product ID]],2)</calculatedColumnFormula>
    </tableColumn>
    <tableColumn id="9" xr3:uid="{3128DA54-7CAD-43DE-83EC-E061AA6A2500}" uniqueName="9" name="Product Brand" queryTableFieldId="9" dataDxfId="0">
      <calculatedColumnFormula>Table1_1[[#This Row],[Brand Name]] &amp; " "&amp;Table1_1[[#This Row],[Product Name]]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9" workbookViewId="0">
      <selection activeCell="D35" sqref="D3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G22" sqref="G22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B8FE-AE58-4A99-8920-6D2BC8ED5801}">
  <dimension ref="A1:J32"/>
  <sheetViews>
    <sheetView tabSelected="1" workbookViewId="0">
      <selection activeCell="F2" sqref="F2"/>
    </sheetView>
  </sheetViews>
  <sheetFormatPr defaultRowHeight="13.2" x14ac:dyDescent="0.25"/>
  <cols>
    <col min="1" max="1" width="12.5546875" bestFit="1" customWidth="1"/>
    <col min="2" max="2" width="15.77734375" bestFit="1" customWidth="1"/>
    <col min="3" max="3" width="14" bestFit="1" customWidth="1"/>
    <col min="4" max="4" width="10.5546875" bestFit="1" customWidth="1"/>
    <col min="5" max="5" width="10.6640625" bestFit="1" customWidth="1"/>
    <col min="6" max="6" width="11.21875" bestFit="1" customWidth="1"/>
    <col min="7" max="7" width="18.5546875" customWidth="1"/>
    <col min="8" max="8" width="16.21875" bestFit="1" customWidth="1"/>
    <col min="9" max="9" width="21.44140625" bestFit="1" customWidth="1"/>
    <col min="10" max="10" width="80.109375" customWidth="1"/>
  </cols>
  <sheetData>
    <row r="1" spans="1:1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s="14" t="s">
        <v>118</v>
      </c>
      <c r="H1" s="14" t="s">
        <v>117</v>
      </c>
      <c r="I1" t="s">
        <v>121</v>
      </c>
    </row>
    <row r="2" spans="1:10" x14ac:dyDescent="0.25">
      <c r="A2" s="12" t="s">
        <v>25</v>
      </c>
      <c r="B2" s="12" t="s">
        <v>61</v>
      </c>
      <c r="C2" s="12" t="s">
        <v>27</v>
      </c>
      <c r="D2" s="17">
        <v>1000</v>
      </c>
      <c r="E2">
        <v>30</v>
      </c>
      <c r="F2" s="12" t="s">
        <v>28</v>
      </c>
      <c r="G2" s="16">
        <v>46050</v>
      </c>
      <c r="H2" s="15" t="str">
        <f>RIGHT(Table1_1[[#This Row],[Product ID]],2)</f>
        <v>US</v>
      </c>
      <c r="I2" t="str">
        <f>Table1_1[[#This Row],[Brand Name]] &amp; " "&amp;Table1_1[[#This Row],[Product Name]]</f>
        <v>Dell Laptop</v>
      </c>
    </row>
    <row r="3" spans="1:10" ht="23.4" customHeight="1" x14ac:dyDescent="0.25">
      <c r="A3" s="12" t="s">
        <v>29</v>
      </c>
      <c r="B3" s="12" t="s">
        <v>30</v>
      </c>
      <c r="C3" s="12" t="s">
        <v>31</v>
      </c>
      <c r="D3" s="17">
        <v>80</v>
      </c>
      <c r="E3">
        <v>15</v>
      </c>
      <c r="F3" s="12" t="s">
        <v>32</v>
      </c>
      <c r="G3" s="16">
        <v>46068</v>
      </c>
      <c r="H3" s="15" t="str">
        <f>RIGHT(Table1_1[[#This Row],[Product ID]],2)</f>
        <v>US</v>
      </c>
      <c r="I3" t="str">
        <f>Table1_1[[#This Row],[Brand Name]] &amp; " "&amp;Table1_1[[#This Row],[Product Name]]</f>
        <v>Nike Sneakers</v>
      </c>
      <c r="J3" s="22" t="s">
        <v>120</v>
      </c>
    </row>
    <row r="4" spans="1:10" x14ac:dyDescent="0.25">
      <c r="A4" s="12" t="s">
        <v>33</v>
      </c>
      <c r="B4" s="12" t="s">
        <v>34</v>
      </c>
      <c r="C4" s="12" t="s">
        <v>35</v>
      </c>
      <c r="D4" s="17">
        <v>130</v>
      </c>
      <c r="E4">
        <v>40</v>
      </c>
      <c r="F4" s="12" t="s">
        <v>36</v>
      </c>
      <c r="G4" s="16">
        <v>46084</v>
      </c>
      <c r="H4" s="15" t="str">
        <f>RIGHT(Table1_1[[#This Row],[Product ID]],2)</f>
        <v>US</v>
      </c>
      <c r="I4" t="str">
        <f>Table1_1[[#This Row],[Brand Name]] &amp; " "&amp;Table1_1[[#This Row],[Product Name]]</f>
        <v>Keurig Coffee Maker</v>
      </c>
      <c r="J4" s="21" t="s">
        <v>119</v>
      </c>
    </row>
    <row r="5" spans="1:10" x14ac:dyDescent="0.25">
      <c r="A5" s="12" t="s">
        <v>37</v>
      </c>
      <c r="B5" s="12" t="s">
        <v>96</v>
      </c>
      <c r="C5" s="12" t="s">
        <v>39</v>
      </c>
      <c r="D5" s="17">
        <v>900</v>
      </c>
      <c r="E5">
        <v>25</v>
      </c>
      <c r="F5" s="12" t="s">
        <v>28</v>
      </c>
      <c r="G5" s="16">
        <v>46123</v>
      </c>
      <c r="H5" s="15" t="str">
        <f>RIGHT(Table1_1[[#This Row],[Product ID]],2)</f>
        <v>US</v>
      </c>
      <c r="I5" t="str">
        <f>Table1_1[[#This Row],[Brand Name]] &amp; " "&amp;Table1_1[[#This Row],[Product Name]]</f>
        <v>Samsung Smartphone</v>
      </c>
    </row>
    <row r="6" spans="1:10" x14ac:dyDescent="0.25">
      <c r="A6" s="12" t="s">
        <v>40</v>
      </c>
      <c r="B6" s="20" t="s">
        <v>41</v>
      </c>
      <c r="C6" s="12" t="s">
        <v>42</v>
      </c>
      <c r="D6" s="17">
        <v>70</v>
      </c>
      <c r="E6">
        <v>20</v>
      </c>
      <c r="F6" s="18" t="s">
        <v>75</v>
      </c>
      <c r="G6" s="16">
        <v>46164</v>
      </c>
      <c r="H6" s="15" t="str">
        <f>RIGHT(Table1_1[[#This Row],[Product ID]],2)</f>
        <v>US</v>
      </c>
      <c r="I6" t="str">
        <f>Table1_1[[#This Row],[Brand Name]] &amp; " "&amp;Table1_1[[#This Row],[Product Name]]</f>
        <v>North Face Backpack</v>
      </c>
    </row>
    <row r="7" spans="1:10" x14ac:dyDescent="0.25">
      <c r="A7" s="12" t="s">
        <v>43</v>
      </c>
      <c r="B7" s="12" t="s">
        <v>44</v>
      </c>
      <c r="C7" s="12" t="s">
        <v>45</v>
      </c>
      <c r="D7" s="19">
        <v>250</v>
      </c>
      <c r="E7">
        <v>45</v>
      </c>
      <c r="F7" s="12" t="s">
        <v>28</v>
      </c>
      <c r="G7" s="16">
        <v>46180</v>
      </c>
      <c r="H7" s="15" t="str">
        <f>RIGHT(Table1_1[[#This Row],[Product ID]],2)</f>
        <v>UK</v>
      </c>
      <c r="I7" t="str">
        <f>Table1_1[[#This Row],[Brand Name]] &amp; " "&amp;Table1_1[[#This Row],[Product Name]]</f>
        <v>Sony Headphones</v>
      </c>
    </row>
    <row r="8" spans="1:10" x14ac:dyDescent="0.25">
      <c r="A8" s="12" t="s">
        <v>47</v>
      </c>
      <c r="B8" s="12" t="s">
        <v>116</v>
      </c>
      <c r="C8" s="12" t="s">
        <v>49</v>
      </c>
      <c r="D8" s="17">
        <v>30</v>
      </c>
      <c r="E8">
        <v>5</v>
      </c>
      <c r="F8" s="12" t="s">
        <v>32</v>
      </c>
      <c r="G8" s="16">
        <v>46222</v>
      </c>
      <c r="H8" s="15" t="str">
        <f>RIGHT(Table1_1[[#This Row],[Product ID]],2)</f>
        <v>UK</v>
      </c>
      <c r="I8" t="str">
        <f>Table1_1[[#This Row],[Brand Name]] &amp; " "&amp;Table1_1[[#This Row],[Product Name]]</f>
        <v>Adidas T-Shirt</v>
      </c>
    </row>
    <row r="9" spans="1:10" x14ac:dyDescent="0.25">
      <c r="A9" s="12" t="s">
        <v>50</v>
      </c>
      <c r="B9" s="12" t="s">
        <v>51</v>
      </c>
      <c r="C9" s="12" t="s">
        <v>52</v>
      </c>
      <c r="D9" s="17">
        <v>90</v>
      </c>
      <c r="E9">
        <v>35</v>
      </c>
      <c r="F9" s="12" t="s">
        <v>36</v>
      </c>
      <c r="G9" s="16">
        <v>46257</v>
      </c>
      <c r="H9" s="15" t="str">
        <f>RIGHT(Table1_1[[#This Row],[Product ID]],2)</f>
        <v>UK</v>
      </c>
      <c r="I9" t="str">
        <f>Table1_1[[#This Row],[Brand Name]] &amp; " "&amp;Table1_1[[#This Row],[Product Name]]</f>
        <v>Ninja Blender</v>
      </c>
    </row>
    <row r="10" spans="1:10" x14ac:dyDescent="0.25">
      <c r="A10" s="12" t="s">
        <v>53</v>
      </c>
      <c r="B10" s="12" t="s">
        <v>54</v>
      </c>
      <c r="C10" s="12" t="s">
        <v>55</v>
      </c>
      <c r="D10" s="17">
        <v>500</v>
      </c>
      <c r="E10">
        <v>50</v>
      </c>
      <c r="F10" s="12" t="s">
        <v>28</v>
      </c>
      <c r="G10" s="16">
        <v>46270</v>
      </c>
      <c r="H10" s="15" t="str">
        <f>RIGHT(Table1_1[[#This Row],[Product ID]],2)</f>
        <v>UK</v>
      </c>
      <c r="I10" t="str">
        <f>Table1_1[[#This Row],[Brand Name]] &amp; " "&amp;Table1_1[[#This Row],[Product Name]]</f>
        <v>Apple Tablet</v>
      </c>
    </row>
    <row r="11" spans="1:10" x14ac:dyDescent="0.25">
      <c r="A11" s="12" t="s">
        <v>56</v>
      </c>
      <c r="B11" s="12" t="s">
        <v>57</v>
      </c>
      <c r="C11" s="12" t="s">
        <v>58</v>
      </c>
      <c r="D11" s="17">
        <v>130</v>
      </c>
      <c r="E11">
        <v>10</v>
      </c>
      <c r="F11" s="12" t="s">
        <v>59</v>
      </c>
      <c r="G11" s="16">
        <v>46309</v>
      </c>
      <c r="H11" s="15" t="str">
        <f>RIGHT(Table1_1[[#This Row],[Product ID]],2)</f>
        <v>UK</v>
      </c>
      <c r="I11" t="str">
        <f>Table1_1[[#This Row],[Brand Name]] &amp; " "&amp;Table1_1[[#This Row],[Product Name]]</f>
        <v>Timberland Hiking Boots</v>
      </c>
      <c r="J11" s="23"/>
    </row>
    <row r="12" spans="1:10" x14ac:dyDescent="0.25">
      <c r="A12" s="12" t="s">
        <v>60</v>
      </c>
      <c r="B12" s="12" t="s">
        <v>61</v>
      </c>
      <c r="C12" s="12" t="s">
        <v>62</v>
      </c>
      <c r="D12" s="17">
        <v>950</v>
      </c>
      <c r="E12">
        <v>25</v>
      </c>
      <c r="F12" s="12" t="s">
        <v>28</v>
      </c>
      <c r="G12" s="16">
        <v>46190</v>
      </c>
      <c r="H12" s="15" t="str">
        <f>RIGHT(Table1_1[[#This Row],[Product ID]],2)</f>
        <v>IN</v>
      </c>
      <c r="I12" t="str">
        <f>Table1_1[[#This Row],[Brand Name]] &amp; " "&amp;Table1_1[[#This Row],[Product Name]]</f>
        <v>HP Laptop</v>
      </c>
    </row>
    <row r="13" spans="1:10" x14ac:dyDescent="0.25">
      <c r="A13" s="12" t="s">
        <v>63</v>
      </c>
      <c r="B13" s="20" t="s">
        <v>30</v>
      </c>
      <c r="C13" s="12" t="s">
        <v>49</v>
      </c>
      <c r="D13" s="17">
        <v>250</v>
      </c>
      <c r="E13">
        <v>40</v>
      </c>
      <c r="F13" s="18" t="s">
        <v>32</v>
      </c>
      <c r="G13" s="16">
        <v>46351</v>
      </c>
      <c r="H13" s="15" t="str">
        <f>RIGHT(Table1_1[[#This Row],[Product ID]],2)</f>
        <v>AU</v>
      </c>
      <c r="I13" t="str">
        <f>Table1_1[[#This Row],[Brand Name]] &amp; " "&amp;Table1_1[[#This Row],[Product Name]]</f>
        <v>Adidas Sneakers</v>
      </c>
    </row>
    <row r="14" spans="1:10" x14ac:dyDescent="0.25">
      <c r="A14" s="12" t="s">
        <v>64</v>
      </c>
      <c r="B14" s="20" t="s">
        <v>34</v>
      </c>
      <c r="C14" s="12" t="s">
        <v>65</v>
      </c>
      <c r="D14" s="17">
        <v>120</v>
      </c>
      <c r="E14">
        <v>35</v>
      </c>
      <c r="F14" s="13" t="s">
        <v>28</v>
      </c>
      <c r="G14" s="16">
        <v>46364</v>
      </c>
      <c r="H14" s="15" t="str">
        <f>RIGHT(Table1_1[[#This Row],[Product ID]],2)</f>
        <v>DE</v>
      </c>
      <c r="I14" t="str">
        <f>Table1_1[[#This Row],[Brand Name]] &amp; " "&amp;Table1_1[[#This Row],[Product Name]]</f>
        <v>Nespresso Coffee Maker</v>
      </c>
    </row>
    <row r="15" spans="1:10" x14ac:dyDescent="0.25">
      <c r="A15" s="12" t="s">
        <v>66</v>
      </c>
      <c r="B15" s="12" t="s">
        <v>67</v>
      </c>
      <c r="C15" s="12" t="s">
        <v>68</v>
      </c>
      <c r="D15" s="17">
        <v>150</v>
      </c>
      <c r="E15">
        <v>15</v>
      </c>
      <c r="F15" s="12" t="s">
        <v>28</v>
      </c>
      <c r="G15" s="16">
        <v>46071</v>
      </c>
      <c r="H15" s="15" t="str">
        <f>RIGHT(Table1_1[[#This Row],[Product ID]],2)</f>
        <v>CA</v>
      </c>
      <c r="I15" t="str">
        <f>Table1_1[[#This Row],[Brand Name]] &amp; " "&amp;Table1_1[[#This Row],[Product Name]]</f>
        <v>Fitbit Smartwatch</v>
      </c>
    </row>
    <row r="16" spans="1:10" x14ac:dyDescent="0.25">
      <c r="A16" s="12" t="s">
        <v>69</v>
      </c>
      <c r="B16" s="12" t="s">
        <v>44</v>
      </c>
      <c r="C16" s="12" t="s">
        <v>71</v>
      </c>
      <c r="D16" s="17">
        <v>250</v>
      </c>
      <c r="E16">
        <v>20</v>
      </c>
      <c r="F16" s="12" t="s">
        <v>28</v>
      </c>
      <c r="G16" s="16">
        <v>46128</v>
      </c>
      <c r="H16" s="15" t="str">
        <f>RIGHT(Table1_1[[#This Row],[Product ID]],2)</f>
        <v>ES</v>
      </c>
      <c r="I16" t="str">
        <f>Table1_1[[#This Row],[Brand Name]] &amp; " "&amp;Table1_1[[#This Row],[Product Name]]</f>
        <v>Bose Headphones</v>
      </c>
    </row>
    <row r="17" spans="1:9" x14ac:dyDescent="0.25">
      <c r="A17" s="12" t="s">
        <v>72</v>
      </c>
      <c r="B17" s="12" t="s">
        <v>73</v>
      </c>
      <c r="C17" s="12" t="s">
        <v>74</v>
      </c>
      <c r="D17" s="17">
        <v>50</v>
      </c>
      <c r="E17">
        <v>35</v>
      </c>
      <c r="F17" s="12" t="s">
        <v>75</v>
      </c>
      <c r="G17" s="16">
        <v>46255</v>
      </c>
      <c r="H17" s="15" t="str">
        <f>RIGHT(Table1_1[[#This Row],[Product ID]],2)</f>
        <v>CA</v>
      </c>
      <c r="I17" t="str">
        <f>Table1_1[[#This Row],[Brand Name]] &amp; " "&amp;Table1_1[[#This Row],[Product Name]]</f>
        <v>Samsonite Laptop Bag</v>
      </c>
    </row>
    <row r="18" spans="1:9" x14ac:dyDescent="0.25">
      <c r="A18" s="12" t="s">
        <v>76</v>
      </c>
      <c r="B18" s="12" t="s">
        <v>67</v>
      </c>
      <c r="C18" s="12" t="s">
        <v>77</v>
      </c>
      <c r="D18" s="17">
        <v>160</v>
      </c>
      <c r="E18">
        <v>15</v>
      </c>
      <c r="F18" s="12" t="s">
        <v>28</v>
      </c>
      <c r="G18" s="16">
        <v>46254</v>
      </c>
      <c r="H18" s="15" t="str">
        <f>RIGHT(Table1_1[[#This Row],[Product ID]],2)</f>
        <v>CN</v>
      </c>
      <c r="I18" t="str">
        <f>Table1_1[[#This Row],[Brand Name]] &amp; " "&amp;Table1_1[[#This Row],[Product Name]]</f>
        <v>Huawei Smartwatch</v>
      </c>
    </row>
    <row r="19" spans="1:9" x14ac:dyDescent="0.25">
      <c r="A19" s="12" t="s">
        <v>78</v>
      </c>
      <c r="B19" s="12" t="s">
        <v>61</v>
      </c>
      <c r="C19" s="12" t="s">
        <v>79</v>
      </c>
      <c r="D19" s="17">
        <v>980</v>
      </c>
      <c r="E19">
        <v>10</v>
      </c>
      <c r="F19" s="12" t="s">
        <v>28</v>
      </c>
      <c r="G19" s="16">
        <v>46049</v>
      </c>
      <c r="H19" s="15" t="str">
        <f>RIGHT(Table1_1[[#This Row],[Product ID]],2)</f>
        <v>IT</v>
      </c>
      <c r="I19" t="str">
        <f>Table1_1[[#This Row],[Brand Name]] &amp; " "&amp;Table1_1[[#This Row],[Product Name]]</f>
        <v>Asus Laptop</v>
      </c>
    </row>
    <row r="20" spans="1:9" x14ac:dyDescent="0.25">
      <c r="A20" s="12" t="s">
        <v>80</v>
      </c>
      <c r="B20" s="12" t="s">
        <v>81</v>
      </c>
      <c r="C20" s="12" t="s">
        <v>82</v>
      </c>
      <c r="D20" s="17">
        <v>150</v>
      </c>
      <c r="E20">
        <v>15</v>
      </c>
      <c r="F20" s="12" t="s">
        <v>32</v>
      </c>
      <c r="G20" s="16">
        <v>46082</v>
      </c>
      <c r="H20" s="15" t="str">
        <f>RIGHT(Table1_1[[#This Row],[Product ID]],2)</f>
        <v>UK</v>
      </c>
      <c r="I20" t="str">
        <f>Table1_1[[#This Row],[Brand Name]] &amp; " "&amp;Table1_1[[#This Row],[Product Name]]</f>
        <v>Oakley Sunglasses</v>
      </c>
    </row>
    <row r="21" spans="1:9" x14ac:dyDescent="0.25">
      <c r="A21" s="12" t="s">
        <v>83</v>
      </c>
      <c r="B21" s="12" t="s">
        <v>84</v>
      </c>
      <c r="C21" s="12" t="s">
        <v>85</v>
      </c>
      <c r="D21" s="19">
        <v>150</v>
      </c>
      <c r="E21">
        <v>10</v>
      </c>
      <c r="F21" s="12" t="s">
        <v>59</v>
      </c>
      <c r="G21" s="16">
        <v>46248</v>
      </c>
      <c r="H21" s="15" t="str">
        <f>RIGHT(Table1_1[[#This Row],[Product ID]],2)</f>
        <v>US</v>
      </c>
      <c r="I21" t="str">
        <f>Table1_1[[#This Row],[Brand Name]] &amp; " "&amp;Table1_1[[#This Row],[Product Name]]</f>
        <v>Coleman Camping Tent</v>
      </c>
    </row>
    <row r="22" spans="1:9" x14ac:dyDescent="0.25">
      <c r="A22" s="12" t="s">
        <v>86</v>
      </c>
      <c r="B22" s="12" t="s">
        <v>87</v>
      </c>
      <c r="C22" s="12" t="s">
        <v>88</v>
      </c>
      <c r="D22" s="17">
        <v>700</v>
      </c>
      <c r="E22">
        <v>50</v>
      </c>
      <c r="F22" s="12" t="s">
        <v>28</v>
      </c>
      <c r="G22" s="16">
        <v>46156</v>
      </c>
      <c r="H22" s="15" t="str">
        <f>RIGHT(Table1_1[[#This Row],[Product ID]],2)</f>
        <v>RU</v>
      </c>
      <c r="I22" t="str">
        <f>Table1_1[[#This Row],[Brand Name]] &amp; " "&amp;Table1_1[[#This Row],[Product Name]]</f>
        <v>Nikon Camera</v>
      </c>
    </row>
    <row r="23" spans="1:9" x14ac:dyDescent="0.25">
      <c r="A23" s="12" t="s">
        <v>89</v>
      </c>
      <c r="B23" s="12" t="s">
        <v>90</v>
      </c>
      <c r="C23" s="12" t="s">
        <v>91</v>
      </c>
      <c r="D23" s="17">
        <v>80</v>
      </c>
      <c r="E23">
        <v>20</v>
      </c>
      <c r="F23" s="12" t="s">
        <v>36</v>
      </c>
      <c r="G23" s="16">
        <v>46031</v>
      </c>
      <c r="H23" s="15" t="str">
        <f>RIGHT(Table1_1[[#This Row],[Product ID]],2)</f>
        <v>CA</v>
      </c>
      <c r="I23" t="str">
        <f>Table1_1[[#This Row],[Brand Name]] &amp; " "&amp;Table1_1[[#This Row],[Product Name]]</f>
        <v>Panasonic Microwave</v>
      </c>
    </row>
    <row r="24" spans="1:9" x14ac:dyDescent="0.25">
      <c r="A24" s="12" t="s">
        <v>92</v>
      </c>
      <c r="B24" s="20" t="s">
        <v>93</v>
      </c>
      <c r="C24" s="12" t="s">
        <v>94</v>
      </c>
      <c r="D24" s="17">
        <v>150</v>
      </c>
      <c r="E24">
        <v>30</v>
      </c>
      <c r="F24" s="13" t="s">
        <v>28</v>
      </c>
      <c r="G24" s="16">
        <v>46222</v>
      </c>
      <c r="H24" s="15" t="str">
        <f>RIGHT(Table1_1[[#This Row],[Product ID]],2)</f>
        <v>BR</v>
      </c>
      <c r="I24" t="str">
        <f>Table1_1[[#This Row],[Brand Name]] &amp; " "&amp;Table1_1[[#This Row],[Product Name]]</f>
        <v>Xiaomi Fitness Tracker</v>
      </c>
    </row>
    <row r="25" spans="1:9" x14ac:dyDescent="0.25">
      <c r="A25" s="12" t="s">
        <v>95</v>
      </c>
      <c r="B25" s="12" t="s">
        <v>96</v>
      </c>
      <c r="C25" s="12" t="s">
        <v>97</v>
      </c>
      <c r="D25" s="17">
        <v>800</v>
      </c>
      <c r="E25">
        <v>45</v>
      </c>
      <c r="F25" s="12" t="s">
        <v>28</v>
      </c>
      <c r="G25" s="16">
        <v>46294</v>
      </c>
      <c r="H25" s="15" t="str">
        <f>RIGHT(Table1_1[[#This Row],[Product ID]],2)</f>
        <v>CA</v>
      </c>
      <c r="I25" t="str">
        <f>Table1_1[[#This Row],[Brand Name]] &amp; " "&amp;Table1_1[[#This Row],[Product Name]]</f>
        <v>Google Smartphone</v>
      </c>
    </row>
    <row r="26" spans="1:9" x14ac:dyDescent="0.25">
      <c r="A26" s="12" t="s">
        <v>98</v>
      </c>
      <c r="B26" s="12" t="s">
        <v>81</v>
      </c>
      <c r="C26" s="12" t="s">
        <v>99</v>
      </c>
      <c r="D26" s="19">
        <v>150</v>
      </c>
      <c r="E26">
        <v>25</v>
      </c>
      <c r="F26" s="12" t="s">
        <v>32</v>
      </c>
      <c r="G26" s="16">
        <v>46176</v>
      </c>
      <c r="H26" s="15" t="str">
        <f>RIGHT(Table1_1[[#This Row],[Product ID]],2)</f>
        <v>CA</v>
      </c>
      <c r="I26" t="str">
        <f>Table1_1[[#This Row],[Brand Name]] &amp; " "&amp;Table1_1[[#This Row],[Product Name]]</f>
        <v>Ray-Ban Sunglasses</v>
      </c>
    </row>
    <row r="27" spans="1:9" x14ac:dyDescent="0.25">
      <c r="A27" s="12" t="s">
        <v>100</v>
      </c>
      <c r="B27" s="12" t="s">
        <v>51</v>
      </c>
      <c r="C27" s="12" t="s">
        <v>101</v>
      </c>
      <c r="D27" s="17">
        <v>400</v>
      </c>
      <c r="E27">
        <v>40</v>
      </c>
      <c r="F27" s="12" t="s">
        <v>36</v>
      </c>
      <c r="G27" s="16">
        <v>46214</v>
      </c>
      <c r="H27" s="15" t="str">
        <f>RIGHT(Table1_1[[#This Row],[Product ID]],2)</f>
        <v>CA</v>
      </c>
      <c r="I27" t="str">
        <f>Table1_1[[#This Row],[Brand Name]] &amp; " "&amp;Table1_1[[#This Row],[Product Name]]</f>
        <v>Vitamix Blender</v>
      </c>
    </row>
    <row r="28" spans="1:9" x14ac:dyDescent="0.25">
      <c r="A28" s="12" t="s">
        <v>102</v>
      </c>
      <c r="B28" s="12" t="s">
        <v>103</v>
      </c>
      <c r="C28" s="12" t="s">
        <v>104</v>
      </c>
      <c r="D28" s="17">
        <v>60</v>
      </c>
      <c r="E28">
        <v>30</v>
      </c>
      <c r="F28" s="12" t="s">
        <v>32</v>
      </c>
      <c r="G28" s="16">
        <v>46088</v>
      </c>
      <c r="H28" s="15" t="str">
        <f>RIGHT(Table1_1[[#This Row],[Product ID]],2)</f>
        <v>CA</v>
      </c>
      <c r="I28" t="str">
        <f>Table1_1[[#This Row],[Brand Name]] &amp; " "&amp;Table1_1[[#This Row],[Product Name]]</f>
        <v>Zara Dress</v>
      </c>
    </row>
    <row r="29" spans="1:9" x14ac:dyDescent="0.25">
      <c r="A29" s="12" t="s">
        <v>105</v>
      </c>
      <c r="B29" s="12" t="s">
        <v>106</v>
      </c>
      <c r="C29" s="12" t="s">
        <v>107</v>
      </c>
      <c r="D29" s="17">
        <v>40</v>
      </c>
      <c r="E29">
        <v>10</v>
      </c>
      <c r="F29" s="12" t="s">
        <v>36</v>
      </c>
      <c r="G29" s="16">
        <v>46125</v>
      </c>
      <c r="H29" s="15" t="str">
        <f>RIGHT(Table1_1[[#This Row],[Product ID]],2)</f>
        <v>CA</v>
      </c>
      <c r="I29" t="str">
        <f>Table1_1[[#This Row],[Brand Name]] &amp; " "&amp;Table1_1[[#This Row],[Product Name]]</f>
        <v>Hamilton Toaster</v>
      </c>
    </row>
    <row r="30" spans="1:9" x14ac:dyDescent="0.25">
      <c r="A30" s="12" t="s">
        <v>108</v>
      </c>
      <c r="B30" s="12" t="s">
        <v>93</v>
      </c>
      <c r="C30" s="12" t="s">
        <v>109</v>
      </c>
      <c r="D30" s="17">
        <v>130</v>
      </c>
      <c r="E30">
        <v>5</v>
      </c>
      <c r="F30" s="12" t="s">
        <v>28</v>
      </c>
      <c r="G30" s="16">
        <v>46166</v>
      </c>
      <c r="H30" s="15" t="str">
        <f>RIGHT(Table1_1[[#This Row],[Product ID]],2)</f>
        <v>CA</v>
      </c>
      <c r="I30" t="str">
        <f>Table1_1[[#This Row],[Brand Name]] &amp; " "&amp;Table1_1[[#This Row],[Product Name]]</f>
        <v>Garmin Fitness Tracker</v>
      </c>
    </row>
    <row r="31" spans="1:9" x14ac:dyDescent="0.25">
      <c r="A31" s="12" t="s">
        <v>110</v>
      </c>
      <c r="B31" s="12" t="s">
        <v>111</v>
      </c>
      <c r="C31" s="12" t="s">
        <v>112</v>
      </c>
      <c r="D31" s="17">
        <v>50</v>
      </c>
      <c r="E31">
        <v>50</v>
      </c>
      <c r="F31" s="12" t="s">
        <v>32</v>
      </c>
      <c r="G31" s="16">
        <v>46358</v>
      </c>
      <c r="H31" s="15" t="str">
        <f>RIGHT(Table1_1[[#This Row],[Product ID]],2)</f>
        <v>CA</v>
      </c>
      <c r="I31" t="str">
        <f>Table1_1[[#This Row],[Brand Name]] &amp; " "&amp;Table1_1[[#This Row],[Product Name]]</f>
        <v>Levi's Jeans</v>
      </c>
    </row>
    <row r="32" spans="1:9" x14ac:dyDescent="0.25">
      <c r="A32" s="12" t="s">
        <v>113</v>
      </c>
      <c r="B32" s="12" t="s">
        <v>114</v>
      </c>
      <c r="C32" s="12" t="s">
        <v>115</v>
      </c>
      <c r="D32" s="17">
        <v>100</v>
      </c>
      <c r="E32">
        <v>20</v>
      </c>
      <c r="F32" s="12" t="s">
        <v>75</v>
      </c>
      <c r="G32" s="16">
        <v>46212</v>
      </c>
      <c r="H32" s="15" t="str">
        <f>RIGHT(Table1_1[[#This Row],[Product ID]],2)</f>
        <v>FR</v>
      </c>
      <c r="I32" t="str">
        <f>Table1_1[[#This Row],[Brand Name]] &amp; " "&amp;Table1_1[[#This Row],[Product Name]]</f>
        <v>Casio Watch</v>
      </c>
    </row>
  </sheetData>
  <phoneticPr fontId="10" type="noConversion"/>
  <conditionalFormatting sqref="D2:D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{36CA1C02-DD2F-43CB-8AE5-9D696A630A0C}</x14:id>
        </ext>
      </extLst>
    </cfRule>
  </conditionalFormatting>
  <conditionalFormatting sqref="F2:F32">
    <cfRule type="containsText" dxfId="1" priority="2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CA1C02-DD2F-43CB-8AE5-9D696A630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02678-C135-4A90-A444-EBC24F04DA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Dataset_Solution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Fuad Abdurahiman</cp:lastModifiedBy>
  <dcterms:modified xsi:type="dcterms:W3CDTF">2026-09-22T08:11:35Z</dcterms:modified>
</cp:coreProperties>
</file>